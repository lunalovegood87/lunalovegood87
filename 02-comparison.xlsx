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coring 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9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22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0" customWidth="1" min="10" max="10"/>
    <col width="6" customWidth="1" min="11" max="11"/>
    <col width="11" customWidth="1" min="12" max="12"/>
    <col width="46" customWidth="1" min="13" max="13"/>
  </cols>
  <sheetData>
    <row r="1">
      <c r="A1" s="1" t="inlineStr">
        <is>
          <t>Income Options — Scored Comparison</t>
        </is>
      </c>
    </row>
    <row r="2">
      <c r="A2" s="2" t="inlineStr">
        <is>
          <t>Scores 1–5, where 5 is always most favorable (low setup, fast payment, high rate, low network dependence, low tax friction). Composite = weighted average of the 5 scores. ✅ = your selected channel (institutional/consultancy)  ⚠️ = adjacent channel you did not select.</t>
        </is>
      </c>
    </row>
    <row r="3">
      <c r="D3" s="3" t="inlineStr">
        <is>
          <t>Weights →</t>
        </is>
      </c>
      <c r="E3" s="4" t="n">
        <v>0.2</v>
      </c>
      <c r="F3" s="4" t="n">
        <v>0.2</v>
      </c>
      <c r="G3" s="4" t="n">
        <v>0.3</v>
      </c>
      <c r="H3" s="4" t="n">
        <v>0.15</v>
      </c>
      <c r="I3" s="4" t="n">
        <v>0.15</v>
      </c>
      <c r="J3" s="4">
        <f>SUM(E3:I3)</f>
        <v>1</v>
      </c>
    </row>
    <row r="4" ht="42" customHeight="1">
      <c r="A4" s="5" t="inlineStr">
        <is>
          <t>#</t>
        </is>
      </c>
      <c r="B4" s="5" t="inlineStr">
        <is>
          <t>Option</t>
        </is>
      </c>
      <c r="C4" s="5" t="inlineStr">
        <is>
          <t>Channel</t>
        </is>
      </c>
      <c r="D4" s="5" t="inlineStr">
        <is>
          <t>Realistic rate (EUR)</t>
        </is>
      </c>
      <c r="E4" s="5" t="inlineStr">
        <is>
          <t>Setup effort
(5=low)</t>
        </is>
      </c>
      <c r="F4" s="5" t="inlineStr">
        <is>
          <t>Time to 1st pay
(5=fast)</t>
        </is>
      </c>
      <c r="G4" s="5" t="inlineStr">
        <is>
          <t>Realistic rate
(5=high)</t>
        </is>
      </c>
      <c r="H4" s="5" t="inlineStr">
        <is>
          <t>Network indep.
(5=independent)</t>
        </is>
      </c>
      <c r="I4" s="5" t="inlineStr">
        <is>
          <t>Tax/legal friction TR
(5=low)</t>
        </is>
      </c>
      <c r="J4" s="5" t="inlineStr">
        <is>
          <t>Composite</t>
        </is>
      </c>
      <c r="K4" s="5" t="inlineStr">
        <is>
          <t>Rank</t>
        </is>
      </c>
      <c r="L4" s="5" t="inlineStr">
        <is>
          <t>Asset status</t>
        </is>
      </c>
      <c r="M4" s="5" t="inlineStr">
        <is>
          <t>Who pays &amp; why (short)</t>
        </is>
      </c>
    </row>
    <row r="5" ht="44" customHeight="1">
      <c r="A5" s="6" t="n">
        <v>1</v>
      </c>
      <c r="B5" s="7" t="inlineStr">
        <is>
          <t>Applied econometrics &amp; statistical modelling consulting</t>
        </is>
      </c>
      <c r="C5" s="6" t="inlineStr">
        <is>
          <t>✅</t>
        </is>
      </c>
      <c r="D5" s="7" t="inlineStr">
        <is>
          <t>€90–140/hr; €1.5k–6k/project</t>
        </is>
      </c>
      <c r="E5" s="6" t="n">
        <v>3</v>
      </c>
      <c r="F5" s="6" t="n">
        <v>3</v>
      </c>
      <c r="G5" s="6" t="n">
        <v>4</v>
      </c>
      <c r="H5" s="6" t="n">
        <v>3</v>
      </c>
      <c r="I5" s="6" t="n">
        <v>3</v>
      </c>
      <c r="J5" s="8">
        <f>SUMPRODUCT(E5:I5,$E$3:$I$3)</f>
        <v>3.3</v>
      </c>
      <c r="K5" s="9">
        <f>RANK(J5,$J$5:$J$14)</f>
        <v>4</v>
      </c>
      <c r="L5" s="10" t="inlineStr">
        <is>
          <t>TOP 3</t>
        </is>
      </c>
      <c r="M5" s="7" t="inlineStr">
        <is>
          <t>Consultancies, policy firms, dev banks, grant teams needing defensible panel models.</t>
        </is>
      </c>
    </row>
    <row r="6" ht="44" customHeight="1">
      <c r="A6" s="6" t="n">
        <v>2</v>
      </c>
      <c r="B6" s="7" t="inlineStr">
        <is>
          <t>Simulation &amp; network modelling (RSiena + ABM)</t>
        </is>
      </c>
      <c r="C6" s="6" t="inlineStr">
        <is>
          <t>✅</t>
        </is>
      </c>
      <c r="D6" s="7" t="inlineStr">
        <is>
          <t>€110–180/hr; €3k–12k/project</t>
        </is>
      </c>
      <c r="E6" s="6" t="n">
        <v>3</v>
      </c>
      <c r="F6" s="6" t="n">
        <v>2</v>
      </c>
      <c r="G6" s="6" t="n">
        <v>5</v>
      </c>
      <c r="H6" s="6" t="n">
        <v>2</v>
      </c>
      <c r="I6" s="6" t="n">
        <v>3</v>
      </c>
      <c r="J6" s="8">
        <f>SUMPRODUCT(E6:I6,$E$3:$I$3)</f>
        <v>3.25</v>
      </c>
      <c r="K6" s="9">
        <f>RANK(J6,$J$5:$J$14)</f>
        <v>5</v>
      </c>
      <c r="L6" s="10" t="inlineStr">
        <is>
          <t>TOP 3</t>
        </is>
      </c>
      <c r="M6" s="7" t="inlineStr">
        <is>
          <t>Consortia/consultancies with a simulation deliverable and no one who can build it. Scarce skill.</t>
        </is>
      </c>
    </row>
    <row r="7" ht="44" customHeight="1">
      <c r="A7" s="6" t="n">
        <v>3</v>
      </c>
      <c r="B7" s="7" t="inlineStr">
        <is>
          <t>EU data harmonization &amp; economic-complexity analytics</t>
        </is>
      </c>
      <c r="C7" s="6" t="inlineStr">
        <is>
          <t>✅</t>
        </is>
      </c>
      <c r="D7" s="7" t="inlineStr">
        <is>
          <t>€500–700/day; €5k–25k WP</t>
        </is>
      </c>
      <c r="E7" s="6" t="n">
        <v>3</v>
      </c>
      <c r="F7" s="6" t="n">
        <v>2</v>
      </c>
      <c r="G7" s="6" t="n">
        <v>3</v>
      </c>
      <c r="H7" s="6" t="n">
        <v>2</v>
      </c>
      <c r="I7" s="6" t="n">
        <v>4</v>
      </c>
      <c r="J7" s="8">
        <f>SUMPRODUCT(E7:I7,$E$3:$I$3)</f>
        <v>2.8</v>
      </c>
      <c r="K7" s="9">
        <f>RANK(J7,$J$5:$J$14)</f>
        <v>9</v>
      </c>
      <c r="L7" s="10" t="inlineStr">
        <is>
          <t>TOP 3</t>
        </is>
      </c>
      <c r="M7" s="7" t="inlineStr">
        <is>
          <t>Horizon Europe/Interreg coordinators, dev agencies, think tanks needing a data WP delivered.</t>
        </is>
      </c>
    </row>
    <row r="8" ht="44" customHeight="1">
      <c r="A8" s="6" t="n">
        <v>4</v>
      </c>
      <c r="B8" s="7" t="inlineStr">
        <is>
          <t>Grant proposal methodology &amp; impact writing</t>
        </is>
      </c>
      <c r="C8" s="6" t="inlineStr">
        <is>
          <t>✅</t>
        </is>
      </c>
      <c r="D8" s="7" t="inlineStr">
        <is>
          <t>€1.5k–5k/proposal</t>
        </is>
      </c>
      <c r="E8" s="6" t="n">
        <v>4</v>
      </c>
      <c r="F8" s="6" t="n">
        <v>3</v>
      </c>
      <c r="G8" s="6" t="n">
        <v>4</v>
      </c>
      <c r="H8" s="6" t="n">
        <v>2</v>
      </c>
      <c r="I8" s="6" t="n">
        <v>3</v>
      </c>
      <c r="J8" s="8">
        <f>SUMPRODUCT(E8:I8,$E$3:$I$3)</f>
        <v>3.35</v>
      </c>
      <c r="K8" s="9">
        <f>RANK(J8,$J$5:$J$14)</f>
        <v>3</v>
      </c>
      <c r="L8" s="11" t="inlineStr">
        <is>
          <t>Runner-up</t>
        </is>
      </c>
      <c r="M8" s="7" t="inlineStr">
        <is>
          <t>PIs &amp; grant consultancies; strong methods sections raise win odds on €1M+ calls.</t>
        </is>
      </c>
    </row>
    <row r="9" ht="44" customHeight="1">
      <c r="A9" s="6" t="n">
        <v>5</v>
      </c>
      <c r="B9" s="7" t="inlineStr">
        <is>
          <t>Expert-network consultations (GLG/Guidepoint/etc.)</t>
        </is>
      </c>
      <c r="C9" s="6" t="inlineStr">
        <is>
          <t>⚠️</t>
        </is>
      </c>
      <c r="D9" s="7" t="inlineStr">
        <is>
          <t>$300–500/hr</t>
        </is>
      </c>
      <c r="E9" s="6" t="n">
        <v>5</v>
      </c>
      <c r="F9" s="6" t="n">
        <v>4</v>
      </c>
      <c r="G9" s="6" t="n">
        <v>5</v>
      </c>
      <c r="H9" s="6" t="n">
        <v>5</v>
      </c>
      <c r="I9" s="6" t="n">
        <v>4</v>
      </c>
      <c r="J9" s="8">
        <f>SUMPRODUCT(E9:I9,$E$3:$I$3)</f>
        <v>4.65</v>
      </c>
      <c r="K9" s="9">
        <f>RANK(J9,$J$5:$J$14)</f>
        <v>1</v>
      </c>
      <c r="L9" s="11" t="inlineStr">
        <is>
          <t>Reconsider</t>
        </is>
      </c>
      <c r="M9" s="7" t="inlineStr">
        <is>
          <t>Investors/consultancies paying for your niche (Turkish agri-econ, innovation policy).</t>
        </is>
      </c>
    </row>
    <row r="10" ht="44" customHeight="1">
      <c r="A10" s="6" t="n">
        <v>6</v>
      </c>
      <c r="B10" s="7" t="inlineStr">
        <is>
          <t>Statistical/methods peer review &amp; manuscript help</t>
        </is>
      </c>
      <c r="C10" s="6" t="inlineStr">
        <is>
          <t>✅/⚠️</t>
        </is>
      </c>
      <c r="D10" s="7" t="inlineStr">
        <is>
          <t>€150–500/paper; €60–150/hr</t>
        </is>
      </c>
      <c r="E10" s="6" t="n">
        <v>4</v>
      </c>
      <c r="F10" s="6" t="n">
        <v>4</v>
      </c>
      <c r="G10" s="6" t="n">
        <v>2</v>
      </c>
      <c r="H10" s="6" t="n">
        <v>4</v>
      </c>
      <c r="I10" s="6" t="n">
        <v>4</v>
      </c>
      <c r="J10" s="8">
        <f>SUMPRODUCT(E10:I10,$E$3:$I$3)</f>
        <v>3.4</v>
      </c>
      <c r="K10" s="9">
        <f>RANK(J10,$J$5:$J$14)</f>
        <v>2</v>
      </c>
      <c r="L10" s="7" t="inlineStr">
        <is>
          <t>Fill-gap</t>
        </is>
      </c>
      <c r="M10" s="7" t="inlineStr">
        <is>
          <t>Non-native research teams &amp; editing firms buying acceptance odds; journals pay stats reviewers.</t>
        </is>
      </c>
    </row>
    <row r="11" ht="44" customHeight="1">
      <c r="A11" s="6" t="n">
        <v>7</v>
      </c>
      <c r="B11" s="7" t="inlineStr">
        <is>
          <t>Reproducibility &amp; replication audits</t>
        </is>
      </c>
      <c r="C11" s="6" t="inlineStr">
        <is>
          <t>✅</t>
        </is>
      </c>
      <c r="D11" s="7" t="inlineStr">
        <is>
          <t>€400–800/paper; €70–110/hr</t>
        </is>
      </c>
      <c r="E11" s="6" t="n">
        <v>3</v>
      </c>
      <c r="F11" s="6" t="n">
        <v>3</v>
      </c>
      <c r="G11" s="6" t="n">
        <v>3</v>
      </c>
      <c r="H11" s="6" t="n">
        <v>3</v>
      </c>
      <c r="I11" s="6" t="n">
        <v>3</v>
      </c>
      <c r="J11" s="8">
        <f>SUMPRODUCT(E11:I11,$E$3:$I$3)</f>
        <v>3</v>
      </c>
      <c r="K11" s="9">
        <f>RANK(J11,$J$5:$J$14)</f>
        <v>7</v>
      </c>
      <c r="L11" s="7" t="inlineStr">
        <is>
          <t>Niche</t>
        </is>
      </c>
      <c r="M11" s="7" t="inlineStr">
        <is>
          <t>Journal data editors, funders, orgs with mandatory replication policies.</t>
        </is>
      </c>
    </row>
    <row r="12" ht="44" customHeight="1">
      <c r="A12" s="6" t="n">
        <v>8</v>
      </c>
      <c r="B12" s="7" t="inlineStr">
        <is>
          <t>Advanced-methods short courses for institutions</t>
        </is>
      </c>
      <c r="C12" s="6" t="inlineStr">
        <is>
          <t>✅</t>
        </is>
      </c>
      <c r="D12" s="7" t="inlineStr">
        <is>
          <t>€1.5k–4k/day; €4k–12k/course</t>
        </is>
      </c>
      <c r="E12" s="6" t="n">
        <v>3</v>
      </c>
      <c r="F12" s="6" t="n">
        <v>2</v>
      </c>
      <c r="G12" s="6" t="n">
        <v>5</v>
      </c>
      <c r="H12" s="6" t="n">
        <v>2</v>
      </c>
      <c r="I12" s="6" t="n">
        <v>3</v>
      </c>
      <c r="J12" s="8">
        <f>SUMPRODUCT(E12:I12,$E$3:$I$3)</f>
        <v>3.25</v>
      </c>
      <c r="K12" s="9">
        <f>RANK(J12,$J$5:$J$14)</f>
        <v>5</v>
      </c>
      <c r="L12" s="7" t="inlineStr">
        <is>
          <t>Batchable</t>
        </is>
      </c>
      <c r="M12" s="7" t="inlineStr">
        <is>
          <t>Universities, institutes, central banks buying a rare instructor for a cohort.</t>
        </is>
      </c>
    </row>
    <row r="13" ht="44" customHeight="1">
      <c r="A13" s="6" t="n">
        <v>9</v>
      </c>
      <c r="B13" s="7" t="inlineStr">
        <is>
          <t>Economic-complexity / regional-innovation diagnostics</t>
        </is>
      </c>
      <c r="C13" s="6" t="inlineStr">
        <is>
          <t>✅</t>
        </is>
      </c>
      <c r="D13" s="7" t="inlineStr">
        <is>
          <t>€80–140/hr; €4k–15k/project</t>
        </is>
      </c>
      <c r="E13" s="6" t="n">
        <v>3</v>
      </c>
      <c r="F13" s="6" t="n">
        <v>2</v>
      </c>
      <c r="G13" s="6" t="n">
        <v>4</v>
      </c>
      <c r="H13" s="6" t="n">
        <v>2</v>
      </c>
      <c r="I13" s="6" t="n">
        <v>3</v>
      </c>
      <c r="J13" s="8">
        <f>SUMPRODUCT(E13:I13,$E$3:$I$3)</f>
        <v>2.95</v>
      </c>
      <c r="K13" s="9">
        <f>RANK(J13,$J$5:$J$14)</f>
        <v>8</v>
      </c>
      <c r="L13" s="7" t="inlineStr">
        <is>
          <t>Build-slow</t>
        </is>
      </c>
      <c r="M13" s="7" t="inlineStr">
        <is>
          <t>Dev banks, RDAs, cluster orgs, strategy consultancies needing the analytics engine.</t>
        </is>
      </c>
    </row>
    <row r="14" ht="44" customHeight="1">
      <c r="A14" s="6" t="n">
        <v>10</v>
      </c>
      <c r="B14" s="7" t="inlineStr">
        <is>
          <t>One-off methods product on an existing marketplace</t>
        </is>
      </c>
      <c r="C14" s="6" t="inlineStr">
        <is>
          <t>⚠️</t>
        </is>
      </c>
      <c r="D14" s="7" t="inlineStr">
        <is>
          <t>€20–60/sale; €50–400/mo</t>
        </is>
      </c>
      <c r="E14" s="6" t="n">
        <v>2</v>
      </c>
      <c r="F14" s="6" t="n">
        <v>1</v>
      </c>
      <c r="G14" s="6" t="n">
        <v>1</v>
      </c>
      <c r="H14" s="6" t="n">
        <v>4</v>
      </c>
      <c r="I14" s="6" t="n">
        <v>4</v>
      </c>
      <c r="J14" s="8">
        <f>SUMPRODUCT(E14:I14,$E$3:$I$3)</f>
        <v>2.1</v>
      </c>
      <c r="K14" s="9">
        <f>RANK(J14,$J$5:$J$14)</f>
        <v>10</v>
      </c>
      <c r="L14" s="7" t="inlineStr">
        <is>
          <t>Optional</t>
        </is>
      </c>
      <c r="M14" s="7" t="inlineStr">
        <is>
          <t>Grad students/analysts worldwide via the marketplace's own audience. Slow, low rate.</t>
        </is>
      </c>
    </row>
    <row r="16" ht="70" customHeight="1">
      <c r="A16" s="12" t="inlineStr">
        <is>
          <t>Note on the Top-3 selection: by raw composite, the highest-scoring options are the expert-network and peer-review lines — but those sit in channels you did not select. Within your selected institutional/consultancy channel, the assets were built for options 1–3, chosen for distinctness, recurring potential, and fit with your research identity (economic complexity). Option 4 (grant methodology writing) is the strongest runner-up you could swap in. Option 5 (expert networks) is the single best fit for your &lt;5 hrs / hard-currency / no-self-promotion constraints and is worth opting into.</t>
        </is>
      </c>
    </row>
  </sheetData>
  <mergeCells count="3">
    <mergeCell ref="A16:M16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  <col width="42" customWidth="1" min="4" max="4"/>
  </cols>
  <sheetData>
    <row r="1">
      <c r="A1" s="1" t="inlineStr">
        <is>
          <t>Scoring Legend &amp; Method</t>
        </is>
      </c>
    </row>
    <row r="3">
      <c r="A3" s="13" t="inlineStr">
        <is>
          <t>All dimensions scored 1–5. 5 is ALWAYS the most favorable end, so a high composite is unambiguously better.</t>
        </is>
      </c>
    </row>
    <row r="5">
      <c r="A5" s="5" t="inlineStr">
        <is>
          <t>Dimension</t>
        </is>
      </c>
      <c r="B5" s="5" t="inlineStr">
        <is>
          <t>Weight</t>
        </is>
      </c>
      <c r="C5" s="5" t="inlineStr">
        <is>
          <t>Score 1 (least favorable)</t>
        </is>
      </c>
      <c r="D5" s="5" t="inlineStr">
        <is>
          <t>Score 5 (most favorable)</t>
        </is>
      </c>
    </row>
    <row r="6" ht="34" customHeight="1">
      <c r="A6" s="14" t="inlineStr">
        <is>
          <t>Setup effort</t>
        </is>
      </c>
      <c r="B6" s="15" t="n">
        <v>0.2</v>
      </c>
      <c r="C6" s="7" t="inlineStr">
        <is>
          <t>Heavy build/registration before earning</t>
        </is>
      </c>
      <c r="D6" s="7" t="inlineStr">
        <is>
          <t>Ready to earn in ~1 hour</t>
        </is>
      </c>
    </row>
    <row r="7" ht="34" customHeight="1">
      <c r="A7" s="14" t="inlineStr">
        <is>
          <t>Time to first payment</t>
        </is>
      </c>
      <c r="B7" s="15" t="n">
        <v>0.2</v>
      </c>
      <c r="C7" s="7" t="inlineStr">
        <is>
          <t>Many months (grant/procurement cycles)</t>
        </is>
      </c>
      <c r="D7" s="7" t="inlineStr">
        <is>
          <t>Days to a few weeks</t>
        </is>
      </c>
    </row>
    <row r="8" ht="34" customHeight="1">
      <c r="A8" s="14" t="inlineStr">
        <is>
          <t>Realistic rate</t>
        </is>
      </c>
      <c r="B8" s="15" t="n">
        <v>0.3</v>
      </c>
      <c r="C8" s="7" t="inlineStr">
        <is>
          <t>Low (€20–60/sale)</t>
        </is>
      </c>
      <c r="D8" s="7" t="inlineStr">
        <is>
          <t>High ($300–500/hr or €1.5k+/day)</t>
        </is>
      </c>
    </row>
    <row r="9" ht="34" customHeight="1">
      <c r="A9" s="14" t="inlineStr">
        <is>
          <t>Network independence</t>
        </is>
      </c>
      <c r="B9" s="15" t="n">
        <v>0.15</v>
      </c>
      <c r="C9" s="7" t="inlineStr">
        <is>
          <t>Only wins through your existing network</t>
        </is>
      </c>
      <c r="D9" s="7" t="inlineStr">
        <is>
          <t>Clients arrive without any network</t>
        </is>
      </c>
    </row>
    <row r="10" ht="34" customHeight="1">
      <c r="A10" s="14" t="inlineStr">
        <is>
          <t>Tax/legal friction (TR)</t>
        </is>
      </c>
      <c r="B10" s="15" t="n">
        <v>0.15</v>
      </c>
      <c r="C10" s="7" t="inlineStr">
        <is>
          <t>Complex setup, weak exemption fit</t>
        </is>
      </c>
      <c r="D10" s="7" t="inlineStr">
        <is>
          <t>Minimal/occasional, clean export-exemption fit</t>
        </is>
      </c>
    </row>
    <row r="11">
      <c r="A11" s="16" t="inlineStr">
        <is>
          <t>Total weight</t>
        </is>
      </c>
      <c r="B11" s="17">
        <f>SUM(B6:B10)</f>
        <v>1</v>
      </c>
    </row>
    <row r="13">
      <c r="A13" s="2" t="inlineStr">
        <is>
          <t>Composite formula: for each option, SUMPRODUCT(its 5 scores, the 5 weights). Range 1.00–5.00.</t>
        </is>
      </c>
    </row>
    <row r="14" ht="60" customHeight="1">
      <c r="A14" s="12" t="inlineStr">
        <is>
          <t>Weighting rationale (your constraints): rate is weighted highest (0.30) because under 5 hrs/week means each hour must pay well; setup effort and time-to-payment next (0.20 each) because you need traction fast without big upfront investment; network independence and tax friction (0.15 each) matter but you do have a network and the export exemption softens tax friction.</t>
        </is>
      </c>
    </row>
  </sheetData>
  <mergeCells count="4">
    <mergeCell ref="A1:D1"/>
    <mergeCell ref="A13:D13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2026-07-25T08:24:13Z</dcterms:created>
  <dcterms:modified xsi:type="dcterms:W3CDTF">2026-07-25T08:24:13Z</dcterms:modified>
</cp:coreProperties>
</file>